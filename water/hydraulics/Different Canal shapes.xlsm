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ivil Softwares\excel files\"/>
    </mc:Choice>
  </mc:AlternateContent>
  <xr:revisionPtr revIDLastSave="0" documentId="13_ncr:1_{28AAB258-6C97-48D2-8BB8-4C271423132A}" xr6:coauthVersionLast="47" xr6:coauthVersionMax="47" xr10:uidLastSave="{00000000-0000-0000-0000-000000000000}"/>
  <bookViews>
    <workbookView xWindow="384" yWindow="0" windowWidth="11520" windowHeight="13680" xr2:uid="{23B0EA5F-9CDF-4718-9C22-8AB31163B130}"/>
  </bookViews>
  <sheets>
    <sheet name="Sheet1" sheetId="1" r:id="rId1"/>
  </sheets>
  <definedNames>
    <definedName name="solver_adj" localSheetId="0" hidden="1">Sheet1!$J$6:$J$7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Sheet1!$J$6</definedName>
    <definedName name="solver_lhs2" localSheetId="0" hidden="1">Sheet1!$J$7</definedName>
    <definedName name="solver_lhs3" localSheetId="0" hidden="1">Sheet1!$J$15</definedName>
    <definedName name="solver_lhs4" localSheetId="0" hidden="1">Sheet1!$F$8</definedName>
    <definedName name="solver_lhs5" localSheetId="0" hidden="1">Sheet1!$H$7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Sheet1!$J$9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1</definedName>
    <definedName name="solver_rel3" localSheetId="0" hidden="1">2</definedName>
    <definedName name="solver_rel4" localSheetId="0" hidden="1">3</definedName>
    <definedName name="solver_rel5" localSheetId="0" hidden="1">1</definedName>
    <definedName name="solver_rhs1" localSheetId="0" hidden="1">"integer"</definedName>
    <definedName name="solver_rhs2" localSheetId="0" hidden="1">Sheet1!$J$6/5</definedName>
    <definedName name="solver_rhs3" localSheetId="0" hidden="1">Sheet1!$B$4</definedName>
    <definedName name="solver_rhs4" localSheetId="0" hidden="1">1</definedName>
    <definedName name="solver_rhs5" localSheetId="0" hidden="1">Sheet1!$H$6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H8" i="1"/>
  <c r="H9" i="1" s="1"/>
  <c r="J11" i="1" l="1"/>
  <c r="J10" i="1"/>
  <c r="J9" i="1"/>
  <c r="H11" i="1"/>
  <c r="F11" i="1"/>
  <c r="F10" i="1"/>
  <c r="F9" i="1"/>
  <c r="D14" i="1"/>
  <c r="D11" i="1"/>
  <c r="D10" i="1"/>
  <c r="D9" i="1"/>
  <c r="D13" i="1" l="1"/>
  <c r="J13" i="1"/>
  <c r="J14" i="1" s="1"/>
  <c r="J12" i="1"/>
  <c r="J15" i="1" s="1"/>
  <c r="H13" i="1"/>
  <c r="H14" i="1" s="1"/>
  <c r="H12" i="1"/>
  <c r="H15" i="1" s="1"/>
  <c r="H10" i="1"/>
  <c r="F12" i="1"/>
  <c r="F15" i="1" s="1"/>
  <c r="F13" i="1"/>
  <c r="F14" i="1" s="1"/>
  <c r="D12" i="1"/>
  <c r="D15" i="1" s="1"/>
</calcChain>
</file>

<file path=xl/sharedStrings.xml><?xml version="1.0" encoding="utf-8"?>
<sst xmlns="http://schemas.openxmlformats.org/spreadsheetml/2006/main" count="45" uniqueCount="19">
  <si>
    <t>Rectangular</t>
  </si>
  <si>
    <t>Trapezoidal</t>
  </si>
  <si>
    <t>Circular</t>
  </si>
  <si>
    <t>Parabolic</t>
  </si>
  <si>
    <t>Discharge</t>
  </si>
  <si>
    <t>width</t>
  </si>
  <si>
    <t>depth</t>
  </si>
  <si>
    <t>area</t>
  </si>
  <si>
    <t>wetted perimeter</t>
  </si>
  <si>
    <t>Top width</t>
  </si>
  <si>
    <t>Hydraulic radius</t>
  </si>
  <si>
    <t>section factor</t>
  </si>
  <si>
    <t>n</t>
  </si>
  <si>
    <t>slope</t>
  </si>
  <si>
    <t>side slope</t>
  </si>
  <si>
    <t>Hydraulic depth</t>
  </si>
  <si>
    <t>Diameter</t>
  </si>
  <si>
    <t>φ</t>
  </si>
  <si>
    <t>Discharge obtained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</si>
</sst>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2" fontId="0" fillId="0" borderId="0" xfId="0" applyNumberFormat="1"/>
    <xf numFmtId="0" fontId="0" fillId="0" borderId="3" xfId="0" applyBorder="1"/>
    <xf numFmtId="0" fontId="0" fillId="0" borderId="4" xfId="0" applyBorder="1"/>
    <xf numFmtId="0" fontId="1" fillId="0" borderId="3" xfId="0" applyFont="1" applyBorder="1"/>
    <xf numFmtId="2" fontId="0" fillId="0" borderId="4" xfId="0" applyNumberFormat="1" applyBorder="1"/>
    <xf numFmtId="0" fontId="1" fillId="0" borderId="5" xfId="0" applyFont="1" applyBorder="1"/>
    <xf numFmtId="2" fontId="0" fillId="0" borderId="6" xfId="0" applyNumberFormat="1" applyBorder="1"/>
    <xf numFmtId="0" fontId="2" fillId="0" borderId="1" xfId="0" applyFont="1" applyBorder="1"/>
    <xf numFmtId="0" fontId="2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670560</xdr:colOff>
          <xdr:row>2</xdr:row>
          <xdr:rowOff>22860</xdr:rowOff>
        </xdr:from>
        <xdr:to>
          <xdr:col>3</xdr:col>
          <xdr:colOff>381000</xdr:colOff>
          <xdr:row>3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for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2</xdr:row>
          <xdr:rowOff>22860</xdr:rowOff>
        </xdr:from>
        <xdr:to>
          <xdr:col>5</xdr:col>
          <xdr:colOff>304800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for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556260</xdr:colOff>
          <xdr:row>2</xdr:row>
          <xdr:rowOff>22860</xdr:rowOff>
        </xdr:from>
        <xdr:to>
          <xdr:col>7</xdr:col>
          <xdr:colOff>137160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for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731520</xdr:colOff>
          <xdr:row>2</xdr:row>
          <xdr:rowOff>0</xdr:rowOff>
        </xdr:from>
        <xdr:to>
          <xdr:col>9</xdr:col>
          <xdr:colOff>312420</xdr:colOff>
          <xdr:row>3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for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251460</xdr:colOff>
          <xdr:row>16</xdr:row>
          <xdr:rowOff>182880</xdr:rowOff>
        </xdr:from>
        <xdr:to>
          <xdr:col>6</xdr:col>
          <xdr:colOff>297180</xdr:colOff>
          <xdr:row>18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3</xdr:row>
          <xdr:rowOff>76200</xdr:rowOff>
        </xdr:from>
        <xdr:to>
          <xdr:col>3</xdr:col>
          <xdr:colOff>617220</xdr:colOff>
          <xdr:row>4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for min 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518160</xdr:colOff>
          <xdr:row>3</xdr:row>
          <xdr:rowOff>106680</xdr:rowOff>
        </xdr:from>
        <xdr:to>
          <xdr:col>5</xdr:col>
          <xdr:colOff>525780</xdr:colOff>
          <xdr:row>5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for min 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3</xdr:row>
          <xdr:rowOff>106680</xdr:rowOff>
        </xdr:from>
        <xdr:to>
          <xdr:col>7</xdr:col>
          <xdr:colOff>342900</xdr:colOff>
          <xdr:row>5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for min 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525780</xdr:colOff>
          <xdr:row>3</xdr:row>
          <xdr:rowOff>68580</xdr:rowOff>
        </xdr:from>
        <xdr:to>
          <xdr:col>9</xdr:col>
          <xdr:colOff>533400</xdr:colOff>
          <xdr:row>4</xdr:row>
          <xdr:rowOff>144780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for min 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18</xdr:row>
          <xdr:rowOff>99060</xdr:rowOff>
        </xdr:from>
        <xdr:to>
          <xdr:col>6</xdr:col>
          <xdr:colOff>647700</xdr:colOff>
          <xdr:row>19</xdr:row>
          <xdr:rowOff>175260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all for min area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51CD-3CEF-4FA9-AD1A-19E8F32D2113}">
  <sheetPr codeName="Sheet1"/>
  <dimension ref="A1:M15"/>
  <sheetViews>
    <sheetView tabSelected="1" zoomScaleNormal="100" workbookViewId="0">
      <selection activeCell="E18" sqref="E18"/>
    </sheetView>
  </sheetViews>
  <sheetFormatPr defaultRowHeight="14.4" x14ac:dyDescent="0.3"/>
  <cols>
    <col min="3" max="3" width="18.33203125" bestFit="1" customWidth="1"/>
    <col min="4" max="4" width="11.44140625" customWidth="1"/>
    <col min="5" max="5" width="18.33203125" bestFit="1" customWidth="1"/>
    <col min="6" max="6" width="11.33203125" customWidth="1"/>
    <col min="7" max="7" width="18.33203125" bestFit="1" customWidth="1"/>
    <col min="8" max="8" width="7.6640625" customWidth="1"/>
    <col min="9" max="9" width="18.33203125" bestFit="1" customWidth="1"/>
  </cols>
  <sheetData>
    <row r="1" spans="1:13" x14ac:dyDescent="0.3">
      <c r="C1" s="8" t="s">
        <v>0</v>
      </c>
      <c r="D1" s="9"/>
      <c r="E1" s="8" t="s">
        <v>1</v>
      </c>
      <c r="F1" s="9"/>
      <c r="G1" s="8" t="s">
        <v>2</v>
      </c>
      <c r="H1" s="9"/>
      <c r="I1" s="8" t="s">
        <v>3</v>
      </c>
      <c r="J1" s="9"/>
      <c r="L1" s="1"/>
      <c r="M1" s="1"/>
    </row>
    <row r="2" spans="1:13" x14ac:dyDescent="0.3">
      <c r="C2" s="2"/>
      <c r="D2" s="3"/>
      <c r="E2" s="2"/>
      <c r="F2" s="3"/>
      <c r="G2" s="2"/>
      <c r="H2" s="3"/>
      <c r="I2" s="2"/>
      <c r="J2" s="3"/>
    </row>
    <row r="3" spans="1:13" x14ac:dyDescent="0.3">
      <c r="C3" s="2"/>
      <c r="D3" s="3"/>
      <c r="E3" s="2"/>
      <c r="F3" s="3"/>
      <c r="G3" s="2"/>
      <c r="H3" s="3"/>
      <c r="I3" s="2"/>
      <c r="J3" s="3"/>
    </row>
    <row r="4" spans="1:13" x14ac:dyDescent="0.3">
      <c r="A4" t="s">
        <v>4</v>
      </c>
      <c r="B4">
        <v>20</v>
      </c>
      <c r="C4" s="2"/>
      <c r="D4" s="3"/>
      <c r="E4" s="2"/>
      <c r="F4" s="3"/>
      <c r="G4" s="2"/>
      <c r="H4" s="3"/>
      <c r="I4" s="2"/>
      <c r="J4" s="3"/>
    </row>
    <row r="5" spans="1:13" x14ac:dyDescent="0.3">
      <c r="A5" t="s">
        <v>12</v>
      </c>
      <c r="B5">
        <v>1.6E-2</v>
      </c>
      <c r="C5" s="2"/>
      <c r="D5" s="3"/>
      <c r="E5" s="2"/>
      <c r="F5" s="3"/>
      <c r="G5" s="2"/>
      <c r="H5" s="3"/>
      <c r="I5" s="2"/>
      <c r="J5" s="3"/>
    </row>
    <row r="6" spans="1:13" x14ac:dyDescent="0.3">
      <c r="A6" t="s">
        <v>13</v>
      </c>
      <c r="B6">
        <f>1/500</f>
        <v>2E-3</v>
      </c>
      <c r="C6" s="4" t="s">
        <v>5</v>
      </c>
      <c r="D6" s="5">
        <v>3.8360959655695064</v>
      </c>
      <c r="E6" s="4" t="s">
        <v>5</v>
      </c>
      <c r="F6" s="5">
        <v>4.4445702213863267</v>
      </c>
      <c r="G6" s="4" t="s">
        <v>16</v>
      </c>
      <c r="H6" s="5">
        <v>4</v>
      </c>
      <c r="I6" s="4" t="s">
        <v>9</v>
      </c>
      <c r="J6" s="5">
        <v>8</v>
      </c>
    </row>
    <row r="7" spans="1:13" x14ac:dyDescent="0.3">
      <c r="C7" s="4" t="s">
        <v>6</v>
      </c>
      <c r="D7" s="5">
        <v>1.9180479827847532</v>
      </c>
      <c r="E7" s="4" t="s">
        <v>6</v>
      </c>
      <c r="F7" s="5">
        <v>1.1111425553465815</v>
      </c>
      <c r="G7" s="4" t="s">
        <v>6</v>
      </c>
      <c r="H7" s="5">
        <v>2.1621720696892384</v>
      </c>
      <c r="I7" s="4" t="s">
        <v>6</v>
      </c>
      <c r="J7" s="5">
        <v>1.4508517296086487</v>
      </c>
    </row>
    <row r="8" spans="1:13" x14ac:dyDescent="0.3">
      <c r="C8" s="4"/>
      <c r="D8" s="3"/>
      <c r="E8" s="4" t="s">
        <v>14</v>
      </c>
      <c r="F8" s="5">
        <v>3</v>
      </c>
      <c r="G8" s="4" t="s">
        <v>17</v>
      </c>
      <c r="H8" s="5">
        <f>IF(H7&lt;=H6,2*ACOS(1-2*H7/H6),3.14159*2-2*ACOS(2*H7/H6-1))</f>
        <v>3.3039429632216848</v>
      </c>
      <c r="I8" s="4"/>
      <c r="J8" s="5"/>
    </row>
    <row r="9" spans="1:13" x14ac:dyDescent="0.3">
      <c r="C9" s="4" t="s">
        <v>7</v>
      </c>
      <c r="D9" s="5">
        <f>D6*D7</f>
        <v>7.357816128529322</v>
      </c>
      <c r="E9" s="4" t="s">
        <v>7</v>
      </c>
      <c r="F9" s="5">
        <f>(F6+F8*F7)*F7</f>
        <v>8.642464448114918</v>
      </c>
      <c r="G9" s="4" t="s">
        <v>7</v>
      </c>
      <c r="H9" s="5">
        <f>1/8*(H8-SIN(H8))*H6^2</f>
        <v>6.9311620349191809</v>
      </c>
      <c r="I9" s="4" t="s">
        <v>7</v>
      </c>
      <c r="J9" s="5">
        <f>2/3*J6*J7</f>
        <v>7.7378758912461265</v>
      </c>
    </row>
    <row r="10" spans="1:13" x14ac:dyDescent="0.3">
      <c r="C10" s="4" t="s">
        <v>8</v>
      </c>
      <c r="D10" s="5">
        <f>D6+2*D7</f>
        <v>7.6721919311390128</v>
      </c>
      <c r="E10" s="4" t="s">
        <v>8</v>
      </c>
      <c r="F10" s="5">
        <f>F6+2*F7*SQRT(1+F8^2)</f>
        <v>11.472052781456131</v>
      </c>
      <c r="G10" s="4" t="s">
        <v>8</v>
      </c>
      <c r="H10" s="5">
        <f>1/2*H8*H6</f>
        <v>6.6078859264433696</v>
      </c>
      <c r="I10" s="4" t="s">
        <v>8</v>
      </c>
      <c r="J10" s="5">
        <f>J6+8*J7^2/(3*J6)</f>
        <v>8.7016569137694688</v>
      </c>
    </row>
    <row r="11" spans="1:13" x14ac:dyDescent="0.3">
      <c r="C11" s="4" t="s">
        <v>9</v>
      </c>
      <c r="D11" s="5">
        <f>D6</f>
        <v>3.8360959655695064</v>
      </c>
      <c r="E11" s="4" t="s">
        <v>9</v>
      </c>
      <c r="F11" s="5">
        <f>F6+2*F8*F7</f>
        <v>11.111425553465816</v>
      </c>
      <c r="G11" s="4" t="s">
        <v>9</v>
      </c>
      <c r="H11" s="5">
        <f>2*SQRT(H7*(H6-H7))</f>
        <v>3.9868284236032574</v>
      </c>
      <c r="I11" s="4" t="s">
        <v>9</v>
      </c>
      <c r="J11" s="5">
        <f>J6</f>
        <v>8</v>
      </c>
    </row>
    <row r="12" spans="1:13" x14ac:dyDescent="0.3">
      <c r="C12" s="4" t="s">
        <v>10</v>
      </c>
      <c r="D12" s="5">
        <f>D9/D10</f>
        <v>0.9590239913923766</v>
      </c>
      <c r="E12" s="4" t="s">
        <v>10</v>
      </c>
      <c r="F12" s="5">
        <f>F9/F10</f>
        <v>0.75334943211601424</v>
      </c>
      <c r="G12" s="4" t="s">
        <v>10</v>
      </c>
      <c r="H12" s="5">
        <f>1/4*(1-SIN(H8)/H8)*H6</f>
        <v>1.0489227738000331</v>
      </c>
      <c r="I12" s="4" t="s">
        <v>10</v>
      </c>
      <c r="J12" s="5">
        <f>J9/J10</f>
        <v>0.88924166603279209</v>
      </c>
    </row>
    <row r="13" spans="1:13" x14ac:dyDescent="0.3">
      <c r="C13" s="4" t="s">
        <v>15</v>
      </c>
      <c r="D13" s="5">
        <f>D9/D11</f>
        <v>1.9180479827847532</v>
      </c>
      <c r="E13" s="4" t="s">
        <v>15</v>
      </c>
      <c r="F13" s="5">
        <f>F9/F11</f>
        <v>0.77779978874260713</v>
      </c>
      <c r="G13" s="4" t="s">
        <v>15</v>
      </c>
      <c r="H13" s="5">
        <f>H9/H11</f>
        <v>1.7385152553554997</v>
      </c>
      <c r="I13" s="4" t="s">
        <v>15</v>
      </c>
      <c r="J13" s="5">
        <f>J9/J11</f>
        <v>0.96723448640576581</v>
      </c>
    </row>
    <row r="14" spans="1:13" x14ac:dyDescent="0.3">
      <c r="C14" s="4" t="s">
        <v>11</v>
      </c>
      <c r="D14" s="5">
        <f>D6*D7^1.5</f>
        <v>10.190105124954954</v>
      </c>
      <c r="E14" s="4" t="s">
        <v>11</v>
      </c>
      <c r="F14" s="5">
        <f>F9*F13^0.5</f>
        <v>7.6220450637415338</v>
      </c>
      <c r="G14" s="4" t="s">
        <v>11</v>
      </c>
      <c r="H14" s="5">
        <f>H9*H13^0.5</f>
        <v>9.1389290302749355</v>
      </c>
      <c r="I14" s="4" t="s">
        <v>11</v>
      </c>
      <c r="J14" s="5">
        <f>J9*J13^0.5</f>
        <v>7.6100523814109193</v>
      </c>
    </row>
    <row r="15" spans="1:13" x14ac:dyDescent="0.3">
      <c r="C15" s="6" t="s">
        <v>18</v>
      </c>
      <c r="D15" s="7">
        <f>1/$B$5*D9*D12^(2/3)*$B$6^0.5</f>
        <v>20.000012189496566</v>
      </c>
      <c r="E15" s="6" t="s">
        <v>18</v>
      </c>
      <c r="F15" s="7">
        <f>1/$B$5*F9*F12^(2/3)*$B$6^0.5</f>
        <v>20.000012189471448</v>
      </c>
      <c r="G15" s="6" t="s">
        <v>18</v>
      </c>
      <c r="H15" s="7">
        <f>1/$B$5*H9*H12^(2/3)*$B$6^0.5</f>
        <v>20.00000373629284</v>
      </c>
      <c r="I15" s="6" t="s">
        <v>18</v>
      </c>
      <c r="J15" s="7">
        <f>1/$B$5*J9*J12^(2/3)*$B$6^0.5</f>
        <v>19.999999157153201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lve_for_d_rect">
                <anchor moveWithCells="1">
                  <from>
                    <xdr:col>2</xdr:col>
                    <xdr:colOff>670560</xdr:colOff>
                    <xdr:row>2</xdr:row>
                    <xdr:rowOff>22860</xdr:rowOff>
                  </from>
                  <to>
                    <xdr:col>3</xdr:col>
                    <xdr:colOff>381000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lve_for_d_trap">
                <anchor moveWithCells="1">
                  <from>
                    <xdr:col>4</xdr:col>
                    <xdr:colOff>723900</xdr:colOff>
                    <xdr:row>2</xdr:row>
                    <xdr:rowOff>22860</xdr:rowOff>
                  </from>
                  <to>
                    <xdr:col>5</xdr:col>
                    <xdr:colOff>304800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lve_for_d_circ">
                <anchor moveWithCells="1">
                  <from>
                    <xdr:col>6</xdr:col>
                    <xdr:colOff>556260</xdr:colOff>
                    <xdr:row>2</xdr:row>
                    <xdr:rowOff>22860</xdr:rowOff>
                  </from>
                  <to>
                    <xdr:col>7</xdr:col>
                    <xdr:colOff>137160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lve_for_d_para">
                <anchor moveWithCells="1">
                  <from>
                    <xdr:col>8</xdr:col>
                    <xdr:colOff>731520</xdr:colOff>
                    <xdr:row>2</xdr:row>
                    <xdr:rowOff>0</xdr:rowOff>
                  </from>
                  <to>
                    <xdr:col>9</xdr:col>
                    <xdr:colOff>312420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olve_all">
                <anchor moveWithCells="1">
                  <from>
                    <xdr:col>5</xdr:col>
                    <xdr:colOff>251460</xdr:colOff>
                    <xdr:row>16</xdr:row>
                    <xdr:rowOff>182880</xdr:rowOff>
                  </from>
                  <to>
                    <xdr:col>6</xdr:col>
                    <xdr:colOff>297180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solve_min_area_rect">
                <anchor moveWithCells="1">
                  <from>
                    <xdr:col>2</xdr:col>
                    <xdr:colOff>609600</xdr:colOff>
                    <xdr:row>3</xdr:row>
                    <xdr:rowOff>76200</xdr:rowOff>
                  </from>
                  <to>
                    <xdr:col>3</xdr:col>
                    <xdr:colOff>617220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solve_min_area_trap">
                <anchor moveWithCells="1">
                  <from>
                    <xdr:col>4</xdr:col>
                    <xdr:colOff>518160</xdr:colOff>
                    <xdr:row>3</xdr:row>
                    <xdr:rowOff>106680</xdr:rowOff>
                  </from>
                  <to>
                    <xdr:col>5</xdr:col>
                    <xdr:colOff>525780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olve_min_area_circ">
                <anchor moveWithCells="1">
                  <from>
                    <xdr:col>6</xdr:col>
                    <xdr:colOff>335280</xdr:colOff>
                    <xdr:row>3</xdr:row>
                    <xdr:rowOff>106680</xdr:rowOff>
                  </from>
                  <to>
                    <xdr:col>7</xdr:col>
                    <xdr:colOff>342900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olve_min_area_para">
                <anchor moveWithCells="1">
                  <from>
                    <xdr:col>8</xdr:col>
                    <xdr:colOff>525780</xdr:colOff>
                    <xdr:row>3</xdr:row>
                    <xdr:rowOff>68580</xdr:rowOff>
                  </from>
                  <to>
                    <xdr:col>9</xdr:col>
                    <xdr:colOff>533400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solve_min_area_all">
                <anchor moveWithCells="1">
                  <from>
                    <xdr:col>5</xdr:col>
                    <xdr:colOff>7620</xdr:colOff>
                    <xdr:row>18</xdr:row>
                    <xdr:rowOff>99060</xdr:rowOff>
                  </from>
                  <to>
                    <xdr:col>6</xdr:col>
                    <xdr:colOff>647700</xdr:colOff>
                    <xdr:row>19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</dc:creator>
  <cp:lastModifiedBy>Samyak</cp:lastModifiedBy>
  <dcterms:created xsi:type="dcterms:W3CDTF">2025-08-11T04:32:05Z</dcterms:created>
  <dcterms:modified xsi:type="dcterms:W3CDTF">2025-08-12T02:48:53Z</dcterms:modified>
</cp:coreProperties>
</file>